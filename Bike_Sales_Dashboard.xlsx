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166925"/>
  <mc:AlternateContent xmlns:mc="http://schemas.openxmlformats.org/markup-compatibility/2006">
    <mc:Choice Requires="x15">
      <x15ac:absPath xmlns:x15ac="http://schemas.microsoft.com/office/spreadsheetml/2010/11/ac" url="/Users/shayanbhatti7/Desktop/bike-sales-excel-dashboard/"/>
    </mc:Choice>
  </mc:AlternateContent>
  <xr:revisionPtr revIDLastSave="0" documentId="13_ncr:1_{EBF1C343-2E07-DC4D-8F05-4E8E77542248}" xr6:coauthVersionLast="47" xr6:coauthVersionMax="47" xr10:uidLastSave="{00000000-0000-0000-0000-000000000000}"/>
  <bookViews>
    <workbookView xWindow="0" yWindow="680" windowWidth="30240" windowHeight="1782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3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57"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<sst xmlns="http://schemas.openxmlformats.org/spreadsheetml/2006/main" count="16274" uniqueCount="51">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</sst>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Alignment="1">
      <alignment vertical="center"/>
    </xf>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u="none" strike="noStrike" baseline="0"/>
              <a:t>Average Income by Gender &amp; Purchase</a:t>
            </a:r>
            <a:endParaRPr lang="en-US"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D7AD-0A44-9C72-81409A1CF8D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D7AD-0A44-9C72-81409A1CF8DE}"/>
            </c:ext>
          </c:extLst>
        </c:ser>
        <c:dLbls>
          <c:showLegendKey val="0"/>
          <c:showVal val="0"/>
          <c:showCatName val="0"/>
          <c:showSerName val="0"/>
          <c:showPercent val="0"/>
          <c:showBubbleSize val="0"/>
        </c:dLbls>
        <c:gapWidth val="219"/>
        <c:overlap val="-27"/>
        <c:axId val="1434951104"/>
        <c:axId val="1434943488"/>
      </c:barChart>
      <c:catAx>
        <c:axId val="1434951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43488"/>
        <c:crosses val="autoZero"/>
        <c:auto val="1"/>
        <c:lblAlgn val="ctr"/>
        <c:lblOffset val="100"/>
        <c:noMultiLvlLbl val="0"/>
      </c:catAx>
      <c:valAx>
        <c:axId val="143494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0"/>
              <a:lstStyle/>
              <a:p>
                <a:pPr>
                  <a:defRPr sz="1000" b="0" i="0" u="none" strike="noStrike" kern="1200" baseline="0">
                    <a:solidFill>
                      <a:schemeClr val="tx1">
                        <a:lumMod val="65000"/>
                        <a:lumOff val="35000"/>
                      </a:schemeClr>
                    </a:solidFill>
                    <a:latin typeface="+mn-lt"/>
                    <a:ea typeface="+mn-ea"/>
                    <a:cs typeface="+mn-cs"/>
                  </a:defRPr>
                </a:pPr>
                <a:r>
                  <a:rPr lang="en-US" sz="1800" baseline="0"/>
                  <a:t> Income</a:t>
                </a:r>
                <a:endParaRPr lang="en-US" sz="1800"/>
              </a:p>
            </c:rich>
          </c:tx>
          <c:layout>
            <c:manualLayout>
              <c:xMode val="edge"/>
              <c:yMode val="edge"/>
              <c:x val="8.8211706985436462E-3"/>
              <c:y val="0.32228111564305256"/>
            </c:manualLayout>
          </c:layout>
          <c:overlay val="0"/>
          <c:spPr>
            <a:noFill/>
            <a:ln>
              <a:noFill/>
            </a:ln>
            <a:effectLst/>
          </c:spPr>
          <c:txPr>
            <a:bodyPr rot="-5400000" spcFirstLastPara="1" vertOverflow="ellipsis" vert="horz" wrap="square" anchor="ctr" anchorCtr="0"/>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49511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Purchases</a:t>
            </a:r>
            <a:r>
              <a:rPr lang="en-US" baseline="0"/>
              <a:t>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none"/>
          </c:marker>
          <c:cat>
            <c:strRef>
              <c:f>'Pivot Table'!$A$32:$A$37</c:f>
              <c:strCache>
                <c:ptCount val="5"/>
                <c:pt idx="0">
                  <c:v>0-1 Miles</c:v>
                </c:pt>
                <c:pt idx="1">
                  <c:v>1-2 Miles</c:v>
                </c:pt>
                <c:pt idx="2">
                  <c:v>2-5 Miles</c:v>
                </c:pt>
                <c:pt idx="3">
                  <c:v>5-10 Miles</c:v>
                </c:pt>
                <c:pt idx="4">
                  <c:v>More than 10 Miles</c:v>
                </c:pt>
              </c:strCache>
            </c:strRef>
          </c:cat>
          <c:val>
            <c:numRef>
              <c:f>'Pivot Table'!$B$32:$B$37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FA9-4C4C-BCE6-283065CF2F89}"/>
            </c:ext>
          </c:extLst>
        </c:ser>
        <c:ser>
          <c:idx val="1"/>
          <c:order val="1"/>
          <c:tx>
            <c:strRef>
              <c:f>'Pivot Table'!$C$30:$C$31</c:f>
              <c:strCache>
                <c:ptCount val="1"/>
                <c:pt idx="0">
                  <c:v>Yes</c:v>
                </c:pt>
              </c:strCache>
            </c:strRef>
          </c:tx>
          <c:spPr>
            <a:ln w="28575" cap="rnd">
              <a:solidFill>
                <a:schemeClr val="accent2"/>
              </a:solidFill>
              <a:round/>
            </a:ln>
            <a:effectLst/>
          </c:spPr>
          <c:marker>
            <c:symbol val="none"/>
          </c:marker>
          <c:cat>
            <c:strRef>
              <c:f>'Pivot Table'!$A$32:$A$37</c:f>
              <c:strCache>
                <c:ptCount val="5"/>
                <c:pt idx="0">
                  <c:v>0-1 Miles</c:v>
                </c:pt>
                <c:pt idx="1">
                  <c:v>1-2 Miles</c:v>
                </c:pt>
                <c:pt idx="2">
                  <c:v>2-5 Miles</c:v>
                </c:pt>
                <c:pt idx="3">
                  <c:v>5-10 Miles</c:v>
                </c:pt>
                <c:pt idx="4">
                  <c:v>More than 10 Miles</c:v>
                </c:pt>
              </c:strCache>
            </c:strRef>
          </c:cat>
          <c:val>
            <c:numRef>
              <c:f>'Pivot Table'!$C$32:$C$37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FA9-4C4C-BCE6-283065CF2F89}"/>
            </c:ext>
          </c:extLst>
        </c:ser>
        <c:dLbls>
          <c:showLegendKey val="0"/>
          <c:showVal val="0"/>
          <c:showCatName val="0"/>
          <c:showSerName val="0"/>
          <c:showPercent val="0"/>
          <c:showBubbleSize val="0"/>
        </c:dLbls>
        <c:smooth val="0"/>
        <c:axId val="899356352"/>
        <c:axId val="899356800"/>
      </c:lineChart>
      <c:catAx>
        <c:axId val="89935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356800"/>
        <c:crosses val="autoZero"/>
        <c:auto val="1"/>
        <c:lblAlgn val="ctr"/>
        <c:lblOffset val="100"/>
        <c:noMultiLvlLbl val="0"/>
      </c:catAx>
      <c:valAx>
        <c:axId val="89935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35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Bike Purchases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Table'!$A$52:$A$55</c:f>
              <c:strCache>
                <c:ptCount val="3"/>
                <c:pt idx="0">
                  <c:v>Adolescent</c:v>
                </c:pt>
                <c:pt idx="1">
                  <c:v>Middle Age</c:v>
                </c:pt>
                <c:pt idx="2">
                  <c:v>Old</c:v>
                </c:pt>
              </c:strCache>
            </c:strRef>
          </c:cat>
          <c:val>
            <c:numRef>
              <c:f>'Pivot Table'!$B$52:$B$55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68B-D445-988A-00BE1F27D262}"/>
            </c:ext>
          </c:extLst>
        </c:ser>
        <c:ser>
          <c:idx val="1"/>
          <c:order val="1"/>
          <c:tx>
            <c:strRef>
              <c:f>'Pivot 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Table'!$A$52:$A$55</c:f>
              <c:strCache>
                <c:ptCount val="3"/>
                <c:pt idx="0">
                  <c:v>Adolescent</c:v>
                </c:pt>
                <c:pt idx="1">
                  <c:v>Middle Age</c:v>
                </c:pt>
                <c:pt idx="2">
                  <c:v>Old</c:v>
                </c:pt>
              </c:strCache>
            </c:strRef>
          </c:cat>
          <c:val>
            <c:numRef>
              <c:f>'Pivot Table'!$C$52:$C$55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68B-D445-988A-00BE1F27D262}"/>
            </c:ext>
          </c:extLst>
        </c:ser>
        <c:dLbls>
          <c:showLegendKey val="0"/>
          <c:showVal val="0"/>
          <c:showCatName val="0"/>
          <c:showSerName val="0"/>
          <c:showPercent val="0"/>
          <c:showBubbleSize val="0"/>
        </c:dLbls>
        <c:marker val="1"/>
        <c:smooth val="0"/>
        <c:axId val="897735232"/>
        <c:axId val="898224960"/>
      </c:lineChart>
      <c:catAx>
        <c:axId val="897735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224960"/>
        <c:crosses val="autoZero"/>
        <c:auto val="1"/>
        <c:lblAlgn val="ctr"/>
        <c:lblOffset val="100"/>
        <c:noMultiLvlLbl val="0"/>
      </c:catAx>
      <c:valAx>
        <c:axId val="89822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3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Income by Gender &amp; Purchase</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rgbClr val="002060"/>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9D58-0441-B402-DEB11B5A3404}"/>
            </c:ext>
          </c:extLst>
        </c:ser>
        <c:ser>
          <c:idx val="1"/>
          <c:order val="1"/>
          <c:tx>
            <c:strRef>
              <c:f>'Pivot Table'!$C$3:$C$4</c:f>
              <c:strCache>
                <c:ptCount val="1"/>
                <c:pt idx="0">
                  <c:v>Yes</c:v>
                </c:pt>
              </c:strCache>
            </c:strRef>
          </c:tx>
          <c:spPr>
            <a:solidFill>
              <a:schemeClr val="bg2">
                <a:lumMod val="75000"/>
              </a:schemeClr>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9D58-0441-B402-DEB11B5A3404}"/>
            </c:ext>
          </c:extLst>
        </c:ser>
        <c:dLbls>
          <c:showLegendKey val="0"/>
          <c:showVal val="0"/>
          <c:showCatName val="0"/>
          <c:showSerName val="0"/>
          <c:showPercent val="0"/>
          <c:showBubbleSize val="0"/>
        </c:dLbls>
        <c:gapWidth val="219"/>
        <c:overlap val="-27"/>
        <c:axId val="1434951104"/>
        <c:axId val="1434943488"/>
      </c:barChart>
      <c:catAx>
        <c:axId val="143495110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Gender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43488"/>
        <c:crosses val="autoZero"/>
        <c:auto val="1"/>
        <c:lblAlgn val="ctr"/>
        <c:lblOffset val="100"/>
        <c:noMultiLvlLbl val="0"/>
      </c:catAx>
      <c:valAx>
        <c:axId val="143494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0"/>
              <a:lstStyle/>
              <a:p>
                <a:pPr>
                  <a:defRPr sz="1100" b="0" i="0" u="none" strike="noStrike" kern="1200" baseline="0">
                    <a:solidFill>
                      <a:schemeClr val="tx1">
                        <a:lumMod val="65000"/>
                        <a:lumOff val="35000"/>
                      </a:schemeClr>
                    </a:solidFill>
                    <a:latin typeface="+mn-lt"/>
                    <a:ea typeface="+mn-ea"/>
                    <a:cs typeface="+mn-cs"/>
                  </a:defRPr>
                </a:pPr>
                <a:r>
                  <a:rPr lang="en-US" sz="1100" baseline="0"/>
                  <a:t> Income</a:t>
                </a:r>
                <a:endParaRPr lang="en-US" sz="1100"/>
              </a:p>
            </c:rich>
          </c:tx>
          <c:layout>
            <c:manualLayout>
              <c:xMode val="edge"/>
              <c:yMode val="edge"/>
              <c:x val="8.8211706985436462E-3"/>
              <c:y val="0.32228111564305256"/>
            </c:manualLayout>
          </c:layout>
          <c:overlay val="0"/>
          <c:spPr>
            <a:noFill/>
            <a:ln>
              <a:noFill/>
            </a:ln>
            <a:effectLst/>
          </c:spPr>
          <c:txPr>
            <a:bodyPr rot="-5400000" spcFirstLastPara="1" vertOverflow="ellipsis" vert="horz" wrap="square" anchor="ctr" anchorCtr="0"/>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49511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Purchases</a:t>
            </a:r>
            <a:r>
              <a:rPr lang="en-US" baseline="0"/>
              <a:t>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none"/>
          </c:marker>
          <c:cat>
            <c:strRef>
              <c:f>'Pivot Table'!$A$32:$A$37</c:f>
              <c:strCache>
                <c:ptCount val="5"/>
                <c:pt idx="0">
                  <c:v>0-1 Miles</c:v>
                </c:pt>
                <c:pt idx="1">
                  <c:v>1-2 Miles</c:v>
                </c:pt>
                <c:pt idx="2">
                  <c:v>2-5 Miles</c:v>
                </c:pt>
                <c:pt idx="3">
                  <c:v>5-10 Miles</c:v>
                </c:pt>
                <c:pt idx="4">
                  <c:v>More than 10 Miles</c:v>
                </c:pt>
              </c:strCache>
            </c:strRef>
          </c:cat>
          <c:val>
            <c:numRef>
              <c:f>'Pivot Table'!$B$32:$B$37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0EE-B34C-A32E-D4848334563C}"/>
            </c:ext>
          </c:extLst>
        </c:ser>
        <c:ser>
          <c:idx val="1"/>
          <c:order val="1"/>
          <c:tx>
            <c:strRef>
              <c:f>'Pivot Table'!$C$30:$C$31</c:f>
              <c:strCache>
                <c:ptCount val="1"/>
                <c:pt idx="0">
                  <c:v>Yes</c:v>
                </c:pt>
              </c:strCache>
            </c:strRef>
          </c:tx>
          <c:spPr>
            <a:ln w="28575" cap="rnd">
              <a:solidFill>
                <a:schemeClr val="accent3"/>
              </a:solidFill>
              <a:round/>
            </a:ln>
            <a:effectLst/>
          </c:spPr>
          <c:marker>
            <c:symbol val="none"/>
          </c:marker>
          <c:cat>
            <c:strRef>
              <c:f>'Pivot Table'!$A$32:$A$37</c:f>
              <c:strCache>
                <c:ptCount val="5"/>
                <c:pt idx="0">
                  <c:v>0-1 Miles</c:v>
                </c:pt>
                <c:pt idx="1">
                  <c:v>1-2 Miles</c:v>
                </c:pt>
                <c:pt idx="2">
                  <c:v>2-5 Miles</c:v>
                </c:pt>
                <c:pt idx="3">
                  <c:v>5-10 Miles</c:v>
                </c:pt>
                <c:pt idx="4">
                  <c:v>More than 10 Miles</c:v>
                </c:pt>
              </c:strCache>
            </c:strRef>
          </c:cat>
          <c:val>
            <c:numRef>
              <c:f>'Pivot Table'!$C$32:$C$37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0EE-B34C-A32E-D4848334563C}"/>
            </c:ext>
          </c:extLst>
        </c:ser>
        <c:dLbls>
          <c:showLegendKey val="0"/>
          <c:showVal val="0"/>
          <c:showCatName val="0"/>
          <c:showSerName val="0"/>
          <c:showPercent val="0"/>
          <c:showBubbleSize val="0"/>
        </c:dLbls>
        <c:smooth val="0"/>
        <c:axId val="899356352"/>
        <c:axId val="899356800"/>
      </c:lineChart>
      <c:catAx>
        <c:axId val="89935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356800"/>
        <c:crosses val="autoZero"/>
        <c:auto val="1"/>
        <c:lblAlgn val="ctr"/>
        <c:lblOffset val="100"/>
        <c:noMultiLvlLbl val="0"/>
      </c:catAx>
      <c:valAx>
        <c:axId val="89935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35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Bike Purchases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bg2">
                <a:lumMod val="50000"/>
              </a:schemeClr>
            </a:solidFill>
            <a:ln w="9525">
              <a:solidFill>
                <a:schemeClr val="accent3"/>
              </a:solidFill>
            </a:ln>
            <a:effectLst/>
          </c:spPr>
        </c:marker>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Table'!$A$52:$A$55</c:f>
              <c:strCache>
                <c:ptCount val="3"/>
                <c:pt idx="0">
                  <c:v>Adolescent</c:v>
                </c:pt>
                <c:pt idx="1">
                  <c:v>Middle Age</c:v>
                </c:pt>
                <c:pt idx="2">
                  <c:v>Old</c:v>
                </c:pt>
              </c:strCache>
            </c:strRef>
          </c:cat>
          <c:val>
            <c:numRef>
              <c:f>'Pivot Table'!$B$52:$B$55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238-C249-A9D5-E341FA3E4E0A}"/>
            </c:ext>
          </c:extLst>
        </c:ser>
        <c:ser>
          <c:idx val="1"/>
          <c:order val="1"/>
          <c:tx>
            <c:strRef>
              <c:f>'Pivot Table'!$C$50:$C$51</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Pt>
            <c:idx val="2"/>
            <c:marker>
              <c:symbol val="circle"/>
              <c:size val="5"/>
              <c:spPr>
                <a:solidFill>
                  <a:schemeClr val="bg2">
                    <a:lumMod val="50000"/>
                  </a:schemeClr>
                </a:solidFill>
                <a:ln w="9525">
                  <a:solidFill>
                    <a:schemeClr val="accent3"/>
                  </a:solidFill>
                </a:ln>
                <a:effectLst/>
              </c:spPr>
            </c:marker>
            <c:bubble3D val="0"/>
            <c:extLst>
              <c:ext xmlns:c16="http://schemas.microsoft.com/office/drawing/2014/chart" uri="{C3380CC4-5D6E-409C-BE32-E72D297353CC}">
                <c16:uniqueId val="{00000000-9182-2343-96B4-508D8B6FF571}"/>
              </c:ext>
            </c:extLst>
          </c:dPt>
          <c:cat>
            <c:strRef>
              <c:f>'Pivot Table'!$A$52:$A$55</c:f>
              <c:strCache>
                <c:ptCount val="3"/>
                <c:pt idx="0">
                  <c:v>Adolescent</c:v>
                </c:pt>
                <c:pt idx="1">
                  <c:v>Middle Age</c:v>
                </c:pt>
                <c:pt idx="2">
                  <c:v>Old</c:v>
                </c:pt>
              </c:strCache>
            </c:strRef>
          </c:cat>
          <c:val>
            <c:numRef>
              <c:f>'Pivot Table'!$C$52:$C$55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238-C249-A9D5-E341FA3E4E0A}"/>
            </c:ext>
          </c:extLst>
        </c:ser>
        <c:dLbls>
          <c:showLegendKey val="0"/>
          <c:showVal val="0"/>
          <c:showCatName val="0"/>
          <c:showSerName val="0"/>
          <c:showPercent val="0"/>
          <c:showBubbleSize val="0"/>
        </c:dLbls>
        <c:marker val="1"/>
        <c:smooth val="0"/>
        <c:axId val="897735232"/>
        <c:axId val="898224960"/>
      </c:lineChart>
      <c:catAx>
        <c:axId val="897735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224960"/>
        <c:crosses val="autoZero"/>
        <c:auto val="1"/>
        <c:lblAlgn val="ctr"/>
        <c:lblOffset val="100"/>
        <c:noMultiLvlLbl val="0"/>
      </c:catAx>
      <c:valAx>
        <c:axId val="89822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3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391483</xdr:colOff>
      <xdr:row>1</xdr:row>
      <xdr:rowOff>26508</xdr:rowOff>
    </xdr:from>
    <xdr:to>
      <xdr:col>11</xdr:col>
      <xdr:colOff>564444</xdr:colOff>
      <xdr:row>14</xdr:row>
      <xdr:rowOff>151191</xdr:rowOff>
    </xdr:to>
    <xdr:graphicFrame macro="">
      <xdr:nvGraphicFramePr>
        <xdr:cNvPr id="4" name="Chart 3">
          <a:extLst>
            <a:ext uri="{FF2B5EF4-FFF2-40B4-BE49-F238E27FC236}">
              <a16:creationId xmlns:a16="http://schemas.microsoft.com/office/drawing/2014/main" id="{2AAAB62D-1D50-AAF8-5E07-3BCD76218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430388</xdr:colOff>
      <xdr:row>27</xdr:row>
      <xdr:rowOff>175583</xdr:rowOff>
    </xdr:from>
    <xdr:to>
      <xdr:col>11</xdr:col>
      <xdr:colOff>221746</xdr:colOff>
      <xdr:row>42</xdr:row>
      <xdr:rowOff>90716</xdr:rowOff>
    </xdr:to>
    <xdr:graphicFrame macro="">
      <xdr:nvGraphicFramePr>
        <xdr:cNvPr id="6" name="Chart 5">
          <a:extLst>
            <a:ext uri="{FF2B5EF4-FFF2-40B4-BE49-F238E27FC236}">
              <a16:creationId xmlns:a16="http://schemas.microsoft.com/office/drawing/2014/main" id="{D497C25D-DEA9-5844-A56D-AB3D4476E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440468</xdr:colOff>
      <xdr:row>48</xdr:row>
      <xdr:rowOff>24392</xdr:rowOff>
    </xdr:from>
    <xdr:to>
      <xdr:col>11</xdr:col>
      <xdr:colOff>201589</xdr:colOff>
      <xdr:row>62</xdr:row>
      <xdr:rowOff>40319</xdr:rowOff>
    </xdr:to>
    <xdr:graphicFrame macro="">
      <xdr:nvGraphicFramePr>
        <xdr:cNvPr id="8" name="Chart 7">
          <a:extLst>
            <a:ext uri="{FF2B5EF4-FFF2-40B4-BE49-F238E27FC236}">
              <a16:creationId xmlns:a16="http://schemas.microsoft.com/office/drawing/2014/main" id="{A9193568-C6CD-FB27-F1E1-30909ADE2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546100</xdr:colOff>
      <xdr:row>6</xdr:row>
      <xdr:rowOff>19050</xdr:rowOff>
    </xdr:from>
    <xdr:to>
      <xdr:col>8</xdr:col>
      <xdr:colOff>571500</xdr:colOff>
      <xdr:row>20</xdr:row>
      <xdr:rowOff>171450</xdr:rowOff>
    </xdr:to>
    <xdr:graphicFrame macro="">
      <xdr:nvGraphicFramePr>
        <xdr:cNvPr id="2" name="Chart 1">
          <a:extLst>
            <a:ext uri="{FF2B5EF4-FFF2-40B4-BE49-F238E27FC236}">
              <a16:creationId xmlns:a16="http://schemas.microsoft.com/office/drawing/2014/main" id="{00EE7A2B-03F6-514E-97A0-4F71D71EF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546100</xdr:colOff>
      <xdr:row>21</xdr:row>
      <xdr:rowOff>1760</xdr:rowOff>
    </xdr:from>
    <xdr:to>
      <xdr:col>15</xdr:col>
      <xdr:colOff>0</xdr:colOff>
      <xdr:row>35</xdr:row>
      <xdr:rowOff>126874</xdr:rowOff>
    </xdr:to>
    <xdr:graphicFrame macro="">
      <xdr:nvGraphicFramePr>
        <xdr:cNvPr id="3" name="Chart 2">
          <a:extLst>
            <a:ext uri="{FF2B5EF4-FFF2-40B4-BE49-F238E27FC236}">
              <a16:creationId xmlns:a16="http://schemas.microsoft.com/office/drawing/2014/main" id="{13B83BF8-B864-B246-9B0F-E817A4DE5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584200</xdr:colOff>
      <xdr:row>6</xdr:row>
      <xdr:rowOff>12700</xdr:rowOff>
    </xdr:from>
    <xdr:to>
      <xdr:col>15</xdr:col>
      <xdr:colOff>0</xdr:colOff>
      <xdr:row>20</xdr:row>
      <xdr:rowOff>177800</xdr:rowOff>
    </xdr:to>
    <xdr:graphicFrame macro="">
      <xdr:nvGraphicFramePr>
        <xdr:cNvPr id="4" name="Chart 3">
          <a:extLst>
            <a:ext uri="{FF2B5EF4-FFF2-40B4-BE49-F238E27FC236}">
              <a16:creationId xmlns:a16="http://schemas.microsoft.com/office/drawing/2014/main" id="{BF9CD7AD-6515-024C-B654-128DACA50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14083</xdr:colOff>
      <xdr:row>6</xdr:row>
      <xdr:rowOff>19240</xdr:rowOff>
    </xdr:from>
    <xdr:to>
      <xdr:col>2</xdr:col>
      <xdr:colOff>553267</xdr:colOff>
      <xdr:row>11</xdr:row>
      <xdr:rowOff>62873</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9EE50430-AA1B-DD7F-3E4D-B65048AFE06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4083" y="1150923"/>
              <a:ext cx="2198986" cy="9867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12575</xdr:colOff>
      <xdr:row>17</xdr:row>
      <xdr:rowOff>67145</xdr:rowOff>
    </xdr:from>
    <xdr:to>
      <xdr:col>2</xdr:col>
      <xdr:colOff>515545</xdr:colOff>
      <xdr:row>26</xdr:row>
      <xdr:rowOff>150890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45893C51-9011-4793-FA35-E4F4753F238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575" y="3273581"/>
              <a:ext cx="2162772" cy="17812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59350</xdr:rowOff>
    </xdr:from>
    <xdr:to>
      <xdr:col>2</xdr:col>
      <xdr:colOff>528119</xdr:colOff>
      <xdr:row>17</xdr:row>
      <xdr:rowOff>100593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EE47C63-73BA-A4F7-1FA4-07E9784636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34102"/>
              <a:ext cx="2187921" cy="11729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yan Bhatti" refreshedDate="46216.972561458337" createdVersion="8" refreshedVersion="8" minRefreshableVersion="3" recordCount="1000" xr:uid="{B2F3505D-0017-B24A-A0BE-3FD5B828B3C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09133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AAB0D4-3862-674E-B957-93885F52B45A}"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7:D12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2C3138-B8F8-4845-B9CF-281E7FBEA1D8}"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0:D5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7">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A14CAA-D162-3941-833B-C8E1AE0343F2}"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0:D3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533DF5-D4CA-8148-BE1D-E11367FE2A0D}"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A693DE3-71D9-8C49-B900-67DDFD8C7345}" sourceName="Marital Status">
  <pivotTables>
    <pivotTable tabId="3" name="PivotTable1"/>
    <pivotTable tabId="3" name="PivotTable2"/>
    <pivotTable tabId="3" name="PivotTable3"/>
    <pivotTable tabId="3" name="PivotTable4"/>
  </pivotTables>
  <data>
    <tabular pivotCacheId="90913325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D65836C-7E7F-E04F-8C66-7DFA12A8B6DD}" sourceName="Education">
  <pivotTables>
    <pivotTable tabId="3" name="PivotTable1"/>
    <pivotTable tabId="3" name="PivotTable2"/>
    <pivotTable tabId="3" name="PivotTable3"/>
    <pivotTable tabId="3" name="PivotTable4"/>
  </pivotTables>
  <data>
    <tabular pivotCacheId="90913325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4E3529-28FD-1146-8DC9-3D5F19586BB8}" sourceName="Region">
  <pivotTables>
    <pivotTable tabId="3" name="PivotTable1"/>
    <pivotTable tabId="3" name="PivotTable2"/>
    <pivotTable tabId="3" name="PivotTable3"/>
    <pivotTable tabId="3" name="PivotTable4"/>
  </pivotTables>
  <data>
    <tabular pivotCacheId="90913325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4A95E6B-8765-DA4B-9044-40D4106812A6}" cache="Slicer_Marital_Status" caption="Marital Status" rowHeight="230716"/>
  <slicer name="Education" xr10:uid="{386816A6-8B3B-7942-86F3-3F1036776DFF}" cache="Slicer_Education" caption="Education" rowHeight="230716"/>
  <slicer name="Region" xr10:uid="{DCBECAEE-049F-4245-8BD6-8CB4C60345C4}"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27" sqref="F27"/>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92952-7DDD-C74F-B582-B3A1F4ADFCB1}">
  <dimension ref="A1:N1001"/>
  <sheetViews>
    <sheetView zoomScale="98" workbookViewId="0">
      <pane ySplit="1" topLeftCell="A957" activePane="bottomLeft" state="frozen"/>
      <selection pane="bottomLeft" activeCell="M960" sqref="M960"/>
    </sheetView>
  </sheetViews>
  <sheetFormatPr baseColWidth="10" defaultColWidth="11.83203125" defaultRowHeight="15" x14ac:dyDescent="0.2"/>
  <cols>
    <col min="1" max="1" width="12.33203125" customWidth="1"/>
    <col min="2" max="2" width="13.6640625" customWidth="1"/>
    <col min="3" max="3" width="6.6640625" bestFit="1" customWidth="1"/>
    <col min="4" max="4" width="15.83203125" style="1" customWidth="1"/>
    <col min="5" max="5" width="9" customWidth="1"/>
    <col min="6" max="6" width="17.5" customWidth="1"/>
    <col min="7" max="7" width="15.1640625" customWidth="1"/>
    <col min="8" max="8" width="11" bestFit="1" customWidth="1"/>
    <col min="9" max="9" width="5.83203125" customWidth="1"/>
    <col min="10" max="10" width="15.5" bestFit="1" customWidth="1"/>
    <col min="11" max="11" width="12.1640625" bestFit="1" customWidth="1"/>
    <col min="12" max="12" width="6" customWidth="1"/>
    <col min="13" max="13" width="12.83203125" customWidth="1"/>
    <col min="14" max="14" width="15" customWidth="1"/>
  </cols>
  <sheetData>
    <row r="1" spans="1:14" x14ac:dyDescent="0.2">
      <c r="A1" t="s">
        <v>0</v>
      </c>
      <c r="B1" t="s">
        <v>1</v>
      </c>
      <c r="C1" t="s">
        <v>2</v>
      </c>
      <c r="D1" s="1" t="s">
        <v>3</v>
      </c>
      <c r="E1" t="s">
        <v>4</v>
      </c>
      <c r="F1" t="s">
        <v>5</v>
      </c>
      <c r="G1" t="s">
        <v>6</v>
      </c>
      <c r="H1" t="s">
        <v>7</v>
      </c>
      <c r="I1" t="s">
        <v>8</v>
      </c>
      <c r="J1" t="s">
        <v>9</v>
      </c>
      <c r="K1" t="s">
        <v>10</v>
      </c>
      <c r="L1" t="s">
        <v>11</v>
      </c>
      <c r="M1" t="s">
        <v>40</v>
      </c>
      <c r="N1" t="s">
        <v>12</v>
      </c>
    </row>
    <row r="2" spans="1:14" x14ac:dyDescent="0.2">
      <c r="A2">
        <v>12496</v>
      </c>
      <c r="B2" t="s">
        <v>36</v>
      </c>
      <c r="C2" t="s">
        <v>39</v>
      </c>
      <c r="D2" s="1">
        <v>40000</v>
      </c>
      <c r="E2">
        <v>1</v>
      </c>
      <c r="F2" t="s">
        <v>13</v>
      </c>
      <c r="G2" t="s">
        <v>14</v>
      </c>
      <c r="H2" t="s">
        <v>15</v>
      </c>
      <c r="I2">
        <v>0</v>
      </c>
      <c r="J2" t="s">
        <v>16</v>
      </c>
      <c r="K2" t="s">
        <v>17</v>
      </c>
      <c r="L2">
        <v>42</v>
      </c>
      <c r="M2" t="str">
        <f>IF(L2 &gt; 54, "Old", IF(L2 &gt;= 31, "Middle Age", IF(L2 &lt; 31, "Adolescent", "Invalid")))</f>
        <v>Middle Age</v>
      </c>
      <c r="N2" t="s">
        <v>18</v>
      </c>
    </row>
    <row r="3" spans="1:14" x14ac:dyDescent="0.2">
      <c r="A3">
        <v>24107</v>
      </c>
      <c r="B3" t="s">
        <v>36</v>
      </c>
      <c r="C3" t="s">
        <v>38</v>
      </c>
      <c r="D3" s="1">
        <v>30000</v>
      </c>
      <c r="E3">
        <v>3</v>
      </c>
      <c r="F3" t="s">
        <v>19</v>
      </c>
      <c r="G3" t="s">
        <v>20</v>
      </c>
      <c r="H3" t="s">
        <v>15</v>
      </c>
      <c r="I3">
        <v>1</v>
      </c>
      <c r="J3" t="s">
        <v>16</v>
      </c>
      <c r="K3" t="s">
        <v>17</v>
      </c>
      <c r="L3">
        <v>43</v>
      </c>
      <c r="M3" t="str">
        <f t="shared" ref="M3:M66" si="0">IF(L3 &gt; 54, "Old", IF(L3 &gt;= 31, "Middle Age", IF(L3 &lt; 31, "Adolescent", "Invalid")))</f>
        <v>Middle Age</v>
      </c>
      <c r="N3" t="s">
        <v>18</v>
      </c>
    </row>
    <row r="4" spans="1:14" x14ac:dyDescent="0.2">
      <c r="A4">
        <v>14177</v>
      </c>
      <c r="B4" t="s">
        <v>36</v>
      </c>
      <c r="C4" t="s">
        <v>38</v>
      </c>
      <c r="D4" s="1">
        <v>80000</v>
      </c>
      <c r="E4">
        <v>5</v>
      </c>
      <c r="F4" t="s">
        <v>19</v>
      </c>
      <c r="G4" t="s">
        <v>21</v>
      </c>
      <c r="H4" t="s">
        <v>18</v>
      </c>
      <c r="I4">
        <v>2</v>
      </c>
      <c r="J4" t="s">
        <v>22</v>
      </c>
      <c r="K4" t="s">
        <v>17</v>
      </c>
      <c r="L4">
        <v>60</v>
      </c>
      <c r="M4" t="str">
        <f t="shared" si="0"/>
        <v>Old</v>
      </c>
      <c r="N4" t="s">
        <v>18</v>
      </c>
    </row>
    <row r="5" spans="1:14" x14ac:dyDescent="0.2">
      <c r="A5">
        <v>24381</v>
      </c>
      <c r="B5" t="s">
        <v>37</v>
      </c>
      <c r="C5" t="s">
        <v>38</v>
      </c>
      <c r="D5" s="1">
        <v>70000</v>
      </c>
      <c r="E5">
        <v>0</v>
      </c>
      <c r="F5" t="s">
        <v>13</v>
      </c>
      <c r="G5" t="s">
        <v>21</v>
      </c>
      <c r="H5" t="s">
        <v>15</v>
      </c>
      <c r="I5">
        <v>1</v>
      </c>
      <c r="J5" t="s">
        <v>23</v>
      </c>
      <c r="K5" t="s">
        <v>24</v>
      </c>
      <c r="L5">
        <v>41</v>
      </c>
      <c r="M5" t="str">
        <f t="shared" si="0"/>
        <v>Middle Age</v>
      </c>
      <c r="N5" t="s">
        <v>15</v>
      </c>
    </row>
    <row r="6" spans="1:14" x14ac:dyDescent="0.2">
      <c r="A6">
        <v>25597</v>
      </c>
      <c r="B6" t="s">
        <v>37</v>
      </c>
      <c r="C6" t="s">
        <v>38</v>
      </c>
      <c r="D6" s="1">
        <v>30000</v>
      </c>
      <c r="E6">
        <v>0</v>
      </c>
      <c r="F6" t="s">
        <v>13</v>
      </c>
      <c r="G6" t="s">
        <v>20</v>
      </c>
      <c r="H6" t="s">
        <v>18</v>
      </c>
      <c r="I6">
        <v>0</v>
      </c>
      <c r="J6" t="s">
        <v>16</v>
      </c>
      <c r="K6" t="s">
        <v>17</v>
      </c>
      <c r="L6">
        <v>36</v>
      </c>
      <c r="M6" t="str">
        <f t="shared" si="0"/>
        <v>Middle Age</v>
      </c>
      <c r="N6" t="s">
        <v>15</v>
      </c>
    </row>
    <row r="7" spans="1:14" x14ac:dyDescent="0.2">
      <c r="A7">
        <v>13507</v>
      </c>
      <c r="B7" t="s">
        <v>36</v>
      </c>
      <c r="C7" t="s">
        <v>39</v>
      </c>
      <c r="D7" s="1">
        <v>10000</v>
      </c>
      <c r="E7">
        <v>2</v>
      </c>
      <c r="F7" t="s">
        <v>19</v>
      </c>
      <c r="G7" t="s">
        <v>25</v>
      </c>
      <c r="H7" t="s">
        <v>15</v>
      </c>
      <c r="I7">
        <v>0</v>
      </c>
      <c r="J7" t="s">
        <v>26</v>
      </c>
      <c r="K7" t="s">
        <v>17</v>
      </c>
      <c r="L7">
        <v>50</v>
      </c>
      <c r="M7" t="str">
        <f t="shared" si="0"/>
        <v>Middle Age</v>
      </c>
      <c r="N7" t="s">
        <v>18</v>
      </c>
    </row>
    <row r="8" spans="1:14" x14ac:dyDescent="0.2">
      <c r="A8">
        <v>27974</v>
      </c>
      <c r="B8" t="s">
        <v>37</v>
      </c>
      <c r="C8" t="s">
        <v>38</v>
      </c>
      <c r="D8" s="1">
        <v>160000</v>
      </c>
      <c r="E8">
        <v>2</v>
      </c>
      <c r="F8" t="s">
        <v>27</v>
      </c>
      <c r="G8" t="s">
        <v>28</v>
      </c>
      <c r="H8" t="s">
        <v>15</v>
      </c>
      <c r="I8">
        <v>4</v>
      </c>
      <c r="J8" t="s">
        <v>16</v>
      </c>
      <c r="K8" t="s">
        <v>24</v>
      </c>
      <c r="L8">
        <v>33</v>
      </c>
      <c r="M8" t="str">
        <f t="shared" si="0"/>
        <v>Middle Age</v>
      </c>
      <c r="N8" t="s">
        <v>15</v>
      </c>
    </row>
    <row r="9" spans="1:14" x14ac:dyDescent="0.2">
      <c r="A9">
        <v>19364</v>
      </c>
      <c r="B9" t="s">
        <v>36</v>
      </c>
      <c r="C9" t="s">
        <v>38</v>
      </c>
      <c r="D9" s="1">
        <v>40000</v>
      </c>
      <c r="E9">
        <v>1</v>
      </c>
      <c r="F9" t="s">
        <v>13</v>
      </c>
      <c r="G9" t="s">
        <v>14</v>
      </c>
      <c r="H9" t="s">
        <v>15</v>
      </c>
      <c r="I9">
        <v>0</v>
      </c>
      <c r="J9" t="s">
        <v>16</v>
      </c>
      <c r="K9" t="s">
        <v>17</v>
      </c>
      <c r="L9">
        <v>43</v>
      </c>
      <c r="M9" t="str">
        <f t="shared" si="0"/>
        <v>Middle Age</v>
      </c>
      <c r="N9" t="s">
        <v>15</v>
      </c>
    </row>
    <row r="10" spans="1:14" x14ac:dyDescent="0.2">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2">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2">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2">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2">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2">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2">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2">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2">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2">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2">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2">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2">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2">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2">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2">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2">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2">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2">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2">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2">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2">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2">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2">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2">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2">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2">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2">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2">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2">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2">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2">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2">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2">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2">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2">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2">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2">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2">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2">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2">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2">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2">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2">
      <c r="A67">
        <v>29337</v>
      </c>
      <c r="B67" t="s">
        <v>37</v>
      </c>
      <c r="C67" t="s">
        <v>38</v>
      </c>
      <c r="D67" s="1">
        <v>30000</v>
      </c>
      <c r="E67">
        <v>2</v>
      </c>
      <c r="F67" t="s">
        <v>19</v>
      </c>
      <c r="G67" t="s">
        <v>20</v>
      </c>
      <c r="H67" t="s">
        <v>15</v>
      </c>
      <c r="I67">
        <v>2</v>
      </c>
      <c r="J67" t="s">
        <v>23</v>
      </c>
      <c r="K67" t="s">
        <v>24</v>
      </c>
      <c r="L67">
        <v>68</v>
      </c>
      <c r="M67" t="str">
        <f t="shared" ref="M67:M130" si="1">IF(L67 &gt; 54, "Old", IF(L67 &gt;= 31, "Middle Age", IF(L67 &lt; 31, "Adolescent", "Invalid")))</f>
        <v>Old</v>
      </c>
      <c r="N67" t="s">
        <v>18</v>
      </c>
    </row>
    <row r="68" spans="1:14" x14ac:dyDescent="0.2">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2">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2">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2">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2">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2">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2">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2">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2">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2">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2">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2">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2">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2">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2">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2">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2">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2">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2">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2">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2">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2">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2">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2">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2">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2">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2">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2">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2">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2">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38</v>
      </c>
      <c r="D131" s="1">
        <v>10000</v>
      </c>
      <c r="E131">
        <v>3</v>
      </c>
      <c r="F131" t="s">
        <v>27</v>
      </c>
      <c r="G131" t="s">
        <v>25</v>
      </c>
      <c r="H131" t="s">
        <v>15</v>
      </c>
      <c r="I131">
        <v>1</v>
      </c>
      <c r="J131" t="s">
        <v>16</v>
      </c>
      <c r="K131" t="s">
        <v>17</v>
      </c>
      <c r="L131">
        <v>39</v>
      </c>
      <c r="M131" t="str">
        <f t="shared" ref="M131:M194" si="2">IF(L131 &gt; 54, "Old", IF(L131 &gt;= 31, "Middle Age", IF(L131 &lt; 31, "Adolescent", "Invalid")))</f>
        <v>Middle Age</v>
      </c>
      <c r="N131" t="s">
        <v>15</v>
      </c>
    </row>
    <row r="132" spans="1:14" x14ac:dyDescent="0.2">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2">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2">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2">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2">
      <c r="A195">
        <v>26032</v>
      </c>
      <c r="B195" t="s">
        <v>36</v>
      </c>
      <c r="C195" t="s">
        <v>39</v>
      </c>
      <c r="D195" s="1">
        <v>70000</v>
      </c>
      <c r="E195">
        <v>5</v>
      </c>
      <c r="F195" t="s">
        <v>13</v>
      </c>
      <c r="G195" t="s">
        <v>21</v>
      </c>
      <c r="H195" t="s">
        <v>15</v>
      </c>
      <c r="I195">
        <v>4</v>
      </c>
      <c r="J195" t="s">
        <v>46</v>
      </c>
      <c r="K195" t="s">
        <v>24</v>
      </c>
      <c r="L195">
        <v>41</v>
      </c>
      <c r="M195" t="str">
        <f t="shared" ref="M195:M258" si="3">IF(L195 &gt; 54, "Old", IF(L195 &gt;= 31, "Middle Age", IF(L195 &lt; 31, "Adolescent", "Invalid")))</f>
        <v>Middle Age</v>
      </c>
      <c r="N195" t="s">
        <v>18</v>
      </c>
    </row>
    <row r="196" spans="1:14" x14ac:dyDescent="0.2">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2">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2">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2">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2">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39</v>
      </c>
      <c r="D259" s="1">
        <v>50000</v>
      </c>
      <c r="E259">
        <v>0</v>
      </c>
      <c r="F259" t="s">
        <v>31</v>
      </c>
      <c r="G259" t="s">
        <v>14</v>
      </c>
      <c r="H259" t="s">
        <v>15</v>
      </c>
      <c r="I259">
        <v>0</v>
      </c>
      <c r="J259" t="s">
        <v>16</v>
      </c>
      <c r="K259" t="s">
        <v>17</v>
      </c>
      <c r="L259">
        <v>36</v>
      </c>
      <c r="M259" t="str">
        <f t="shared" ref="M259:M322" si="4">IF(L259 &gt; 54, "Old", IF(L259 &gt;= 31, "Middle Age", IF(L259 &lt; 31, "Adolescent", "Invalid")))</f>
        <v>Middle Age</v>
      </c>
      <c r="N259" t="s">
        <v>15</v>
      </c>
    </row>
    <row r="260" spans="1:14" x14ac:dyDescent="0.2">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2">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2">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39</v>
      </c>
      <c r="D323" s="1">
        <v>160000</v>
      </c>
      <c r="E323">
        <v>0</v>
      </c>
      <c r="F323" t="s">
        <v>31</v>
      </c>
      <c r="G323" t="s">
        <v>28</v>
      </c>
      <c r="H323" t="s">
        <v>18</v>
      </c>
      <c r="I323">
        <v>3</v>
      </c>
      <c r="J323" t="s">
        <v>16</v>
      </c>
      <c r="K323" t="s">
        <v>24</v>
      </c>
      <c r="L323">
        <v>47</v>
      </c>
      <c r="M323" t="str">
        <f t="shared" ref="M323:M386" si="5">IF(L323 &gt; 54, "Old", IF(L323 &gt;= 31, "Middle Age", IF(L323 &lt; 31, "Adolescent", "Invalid")))</f>
        <v>Middle Age</v>
      </c>
      <c r="N323" t="s">
        <v>15</v>
      </c>
    </row>
    <row r="324" spans="1:14" x14ac:dyDescent="0.2">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2">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2">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2">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2">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2">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38</v>
      </c>
      <c r="D387" s="1">
        <v>30000</v>
      </c>
      <c r="E387">
        <v>3</v>
      </c>
      <c r="F387" t="s">
        <v>19</v>
      </c>
      <c r="G387" t="s">
        <v>20</v>
      </c>
      <c r="H387" t="s">
        <v>15</v>
      </c>
      <c r="I387">
        <v>0</v>
      </c>
      <c r="J387" t="s">
        <v>16</v>
      </c>
      <c r="K387" t="s">
        <v>17</v>
      </c>
      <c r="L387">
        <v>43</v>
      </c>
      <c r="M387" t="str">
        <f t="shared" ref="M387:M450" si="6">IF(L387 &gt; 54, "Old", IF(L387 &gt;= 31, "Middle Age", IF(L387 &lt; 31, "Adolescent", "Invalid")))</f>
        <v>Middle Age</v>
      </c>
      <c r="N387" t="s">
        <v>18</v>
      </c>
    </row>
    <row r="388" spans="1:14" x14ac:dyDescent="0.2">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2">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2">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2">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39</v>
      </c>
      <c r="D451" s="1">
        <v>40000</v>
      </c>
      <c r="E451">
        <v>1</v>
      </c>
      <c r="F451" t="s">
        <v>13</v>
      </c>
      <c r="G451" t="s">
        <v>14</v>
      </c>
      <c r="H451" t="s">
        <v>15</v>
      </c>
      <c r="I451">
        <v>0</v>
      </c>
      <c r="J451" t="s">
        <v>16</v>
      </c>
      <c r="K451" t="s">
        <v>17</v>
      </c>
      <c r="L451">
        <v>42</v>
      </c>
      <c r="M451" t="str">
        <f t="shared" ref="M451:M514" si="7">IF(L451 &gt; 54, "Old", IF(L451 &gt;= 31, "Middle Age", IF(L451 &lt; 31, "Adolescent", "Invalid")))</f>
        <v>Middle Age</v>
      </c>
      <c r="N451" t="s">
        <v>18</v>
      </c>
    </row>
    <row r="452" spans="1:14" x14ac:dyDescent="0.2">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2">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2">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2">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39</v>
      </c>
      <c r="D515" s="1">
        <v>60000</v>
      </c>
      <c r="E515">
        <v>4</v>
      </c>
      <c r="F515" t="s">
        <v>31</v>
      </c>
      <c r="G515" t="s">
        <v>28</v>
      </c>
      <c r="H515" t="s">
        <v>15</v>
      </c>
      <c r="I515">
        <v>2</v>
      </c>
      <c r="J515" t="s">
        <v>46</v>
      </c>
      <c r="K515" t="s">
        <v>32</v>
      </c>
      <c r="L515">
        <v>61</v>
      </c>
      <c r="M515" t="str">
        <f t="shared" ref="M515:M578" si="8">IF(L515 &gt; 54, "Old", IF(L515 &gt;= 31, "Middle Age", IF(L515 &lt; 31, "Adolescent", "Invalid")))</f>
        <v>Old</v>
      </c>
      <c r="N515" t="s">
        <v>15</v>
      </c>
    </row>
    <row r="516" spans="1:14" x14ac:dyDescent="0.2">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2">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2">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2">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2">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38</v>
      </c>
      <c r="D579" s="1">
        <v>120000</v>
      </c>
      <c r="E579">
        <v>1</v>
      </c>
      <c r="F579" t="s">
        <v>13</v>
      </c>
      <c r="G579" t="s">
        <v>28</v>
      </c>
      <c r="H579" t="s">
        <v>15</v>
      </c>
      <c r="I579">
        <v>4</v>
      </c>
      <c r="J579" t="s">
        <v>16</v>
      </c>
      <c r="K579" t="s">
        <v>32</v>
      </c>
      <c r="L579">
        <v>38</v>
      </c>
      <c r="M579" t="str">
        <f t="shared" ref="M579:M642" si="9">IF(L579 &gt; 54, "Old", IF(L579 &gt;= 31, "Middle Age", IF(L579 &lt; 31, "Adolescent", "Invalid")))</f>
        <v>Middle Age</v>
      </c>
      <c r="N579" t="s">
        <v>18</v>
      </c>
    </row>
    <row r="580" spans="1:14" x14ac:dyDescent="0.2">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2">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2">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2">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38</v>
      </c>
      <c r="D643" s="1">
        <v>50000</v>
      </c>
      <c r="E643">
        <v>4</v>
      </c>
      <c r="F643" t="s">
        <v>13</v>
      </c>
      <c r="G643" t="s">
        <v>28</v>
      </c>
      <c r="H643" t="s">
        <v>15</v>
      </c>
      <c r="I643">
        <v>2</v>
      </c>
      <c r="J643" t="s">
        <v>46</v>
      </c>
      <c r="K643" t="s">
        <v>32</v>
      </c>
      <c r="L643">
        <v>64</v>
      </c>
      <c r="M643" t="str">
        <f t="shared" ref="M643:M706" si="10">IF(L643 &gt; 54, "Old", IF(L643 &gt;= 31, "Middle Age", IF(L643 &lt; 31, "Adolescent", "Invalid")))</f>
        <v>Old</v>
      </c>
      <c r="N643" t="s">
        <v>18</v>
      </c>
    </row>
    <row r="644" spans="1:14" x14ac:dyDescent="0.2">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2">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2">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2">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39</v>
      </c>
      <c r="D707" s="1">
        <v>70000</v>
      </c>
      <c r="E707">
        <v>4</v>
      </c>
      <c r="F707" t="s">
        <v>13</v>
      </c>
      <c r="G707" t="s">
        <v>28</v>
      </c>
      <c r="H707" t="s">
        <v>15</v>
      </c>
      <c r="I707">
        <v>1</v>
      </c>
      <c r="J707" t="s">
        <v>46</v>
      </c>
      <c r="K707" t="s">
        <v>32</v>
      </c>
      <c r="L707">
        <v>59</v>
      </c>
      <c r="M707" t="str">
        <f t="shared" ref="M707:M770" si="11">IF(L707 &gt; 54, "Old", IF(L707 &gt;= 31, "Middle Age", IF(L707 &lt; 31, "Adolescent", "Invalid")))</f>
        <v>Old</v>
      </c>
      <c r="N707" t="s">
        <v>18</v>
      </c>
    </row>
    <row r="708" spans="1:14" x14ac:dyDescent="0.2">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2">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2">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2">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2">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39</v>
      </c>
      <c r="D771" s="1">
        <v>100000</v>
      </c>
      <c r="E771">
        <v>4</v>
      </c>
      <c r="F771" t="s">
        <v>13</v>
      </c>
      <c r="G771" t="s">
        <v>28</v>
      </c>
      <c r="H771" t="s">
        <v>15</v>
      </c>
      <c r="I771">
        <v>4</v>
      </c>
      <c r="J771" t="s">
        <v>16</v>
      </c>
      <c r="K771" t="s">
        <v>32</v>
      </c>
      <c r="L771">
        <v>40</v>
      </c>
      <c r="M771" t="str">
        <f t="shared" ref="M771:M834" si="12">IF(L771 &gt; 54, "Old", IF(L771 &gt;= 31, "Middle Age", IF(L771 &lt; 31, "Adolescent", "Invalid")))</f>
        <v>Middle Age</v>
      </c>
      <c r="N771" t="s">
        <v>18</v>
      </c>
    </row>
    <row r="772" spans="1:14" x14ac:dyDescent="0.2">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2">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2">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2">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39</v>
      </c>
      <c r="D835" s="1">
        <v>70000</v>
      </c>
      <c r="E835">
        <v>0</v>
      </c>
      <c r="F835" t="s">
        <v>13</v>
      </c>
      <c r="G835" t="s">
        <v>21</v>
      </c>
      <c r="H835" t="s">
        <v>18</v>
      </c>
      <c r="I835">
        <v>1</v>
      </c>
      <c r="J835" t="s">
        <v>16</v>
      </c>
      <c r="K835" t="s">
        <v>32</v>
      </c>
      <c r="L835">
        <v>37</v>
      </c>
      <c r="M835" t="str">
        <f t="shared" ref="M835:M898" si="13">IF(L835 &gt; 54, "Old", IF(L835 &gt;= 31, "Middle Age", IF(L835 &lt; 31, "Adolescent", "Invalid")))</f>
        <v>Middle Age</v>
      </c>
      <c r="N835" t="s">
        <v>15</v>
      </c>
    </row>
    <row r="836" spans="1:14" x14ac:dyDescent="0.2">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2">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2">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2">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2">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38</v>
      </c>
      <c r="D899" s="1">
        <v>30000</v>
      </c>
      <c r="E899">
        <v>0</v>
      </c>
      <c r="F899" t="s">
        <v>29</v>
      </c>
      <c r="G899" t="s">
        <v>20</v>
      </c>
      <c r="H899" t="s">
        <v>18</v>
      </c>
      <c r="I899">
        <v>2</v>
      </c>
      <c r="J899" t="s">
        <v>16</v>
      </c>
      <c r="K899" t="s">
        <v>32</v>
      </c>
      <c r="L899">
        <v>28</v>
      </c>
      <c r="M899" t="str">
        <f t="shared" ref="M899:M962" si="14">IF(L899 &gt; 54, "Old", IF(L899 &gt;= 31, "Middle Age", IF(L899 &lt; 31, "Adolescent", "Invalid")))</f>
        <v>Adolescent</v>
      </c>
      <c r="N899" t="s">
        <v>18</v>
      </c>
    </row>
    <row r="900" spans="1:14" x14ac:dyDescent="0.2">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2">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2">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2">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2">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39</v>
      </c>
      <c r="D957" s="1">
        <v>40000</v>
      </c>
      <c r="E957">
        <v>4</v>
      </c>
      <c r="F957" t="s">
        <v>27</v>
      </c>
      <c r="G957" t="s">
        <v>14</v>
      </c>
      <c r="H957" t="s">
        <v>15</v>
      </c>
      <c r="I957">
        <v>2</v>
      </c>
      <c r="J957" t="s">
        <v>22</v>
      </c>
      <c r="K957" t="s">
        <v>32</v>
      </c>
      <c r="L957">
        <v>43</v>
      </c>
      <c r="M957" t="str">
        <f>IF(L957 &gt; 54, "Old", IF(L957 &gt;= 31, "Middle Age", IF(L957 &lt; 31, "Adolescent", "Invalid")))</f>
        <v>Middle Age</v>
      </c>
      <c r="N957" t="s">
        <v>18</v>
      </c>
    </row>
    <row r="958" spans="1:14" x14ac:dyDescent="0.2">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39</v>
      </c>
      <c r="D963" s="1">
        <v>120000</v>
      </c>
      <c r="E963">
        <v>2</v>
      </c>
      <c r="F963" t="s">
        <v>13</v>
      </c>
      <c r="G963" t="s">
        <v>28</v>
      </c>
      <c r="H963" t="s">
        <v>15</v>
      </c>
      <c r="I963">
        <v>3</v>
      </c>
      <c r="J963" t="s">
        <v>23</v>
      </c>
      <c r="K963" t="s">
        <v>32</v>
      </c>
      <c r="L963">
        <v>62</v>
      </c>
      <c r="M963" t="str">
        <f t="shared" ref="M963:M1001" si="15">IF(L963 &gt; 54, "Old", IF(L963 &gt;= 31, "Middle Age", IF(L963 &lt; 31, "Adolescent", "Invalid")))</f>
        <v>Old</v>
      </c>
      <c r="N963" t="s">
        <v>18</v>
      </c>
    </row>
    <row r="964" spans="1:14" x14ac:dyDescent="0.2">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2">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2">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2">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2">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2">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sheetData>
  <autoFilter ref="A1:N1001" xr:uid="{04D92952-7DDD-C74F-B582-B3A1F4ADFCB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D1230-8885-8D43-B5CE-A276B15D53E5}">
  <dimension ref="A3:D122"/>
  <sheetViews>
    <sheetView topLeftCell="A43" zoomScale="126" zoomScaleNormal="126" workbookViewId="0">
      <selection activeCell="A67" sqref="A67"/>
    </sheetView>
  </sheetViews>
  <sheetFormatPr baseColWidth="10" defaultRowHeight="15" x14ac:dyDescent="0.2"/>
  <cols>
    <col min="1" max="1" width="15.6640625" bestFit="1" customWidth="1"/>
    <col min="2" max="2" width="14.83203125" bestFit="1" customWidth="1"/>
    <col min="3" max="4" width="10.1640625" bestFit="1" customWidth="1"/>
  </cols>
  <sheetData>
    <row r="3" spans="1:4" x14ac:dyDescent="0.2">
      <c r="A3" s="3" t="s">
        <v>43</v>
      </c>
      <c r="B3" s="3" t="s">
        <v>44</v>
      </c>
    </row>
    <row r="4" spans="1:4" x14ac:dyDescent="0.2">
      <c r="A4" s="3" t="s">
        <v>41</v>
      </c>
      <c r="B4" t="s">
        <v>18</v>
      </c>
      <c r="C4" t="s">
        <v>15</v>
      </c>
      <c r="D4" t="s">
        <v>42</v>
      </c>
    </row>
    <row r="5" spans="1:4" x14ac:dyDescent="0.2">
      <c r="A5" s="4" t="s">
        <v>39</v>
      </c>
      <c r="B5" s="1">
        <v>53440</v>
      </c>
      <c r="C5" s="1">
        <v>55774.058577405856</v>
      </c>
      <c r="D5" s="1">
        <v>54580.777096114522</v>
      </c>
    </row>
    <row r="6" spans="1:4" x14ac:dyDescent="0.2">
      <c r="A6" s="4" t="s">
        <v>38</v>
      </c>
      <c r="B6" s="1">
        <v>56208.178438661707</v>
      </c>
      <c r="C6" s="1">
        <v>60123.966942148763</v>
      </c>
      <c r="D6" s="1">
        <v>58062.62230919765</v>
      </c>
    </row>
    <row r="7" spans="1:4" x14ac:dyDescent="0.2">
      <c r="A7" s="4" t="s">
        <v>42</v>
      </c>
      <c r="B7" s="1">
        <v>54874.759152215796</v>
      </c>
      <c r="C7" s="1">
        <v>57962.577962577961</v>
      </c>
      <c r="D7" s="1">
        <v>56360</v>
      </c>
    </row>
    <row r="30" spans="1:4" x14ac:dyDescent="0.2">
      <c r="A30" s="3" t="s">
        <v>45</v>
      </c>
      <c r="B30" s="3" t="s">
        <v>44</v>
      </c>
    </row>
    <row r="31" spans="1:4" x14ac:dyDescent="0.2">
      <c r="A31" s="3" t="s">
        <v>41</v>
      </c>
      <c r="B31" t="s">
        <v>18</v>
      </c>
      <c r="C31" t="s">
        <v>15</v>
      </c>
      <c r="D31" t="s">
        <v>42</v>
      </c>
    </row>
    <row r="32" spans="1:4" x14ac:dyDescent="0.2">
      <c r="A32" s="4" t="s">
        <v>16</v>
      </c>
      <c r="B32" s="8">
        <v>166</v>
      </c>
      <c r="C32" s="8">
        <v>200</v>
      </c>
      <c r="D32" s="8">
        <v>366</v>
      </c>
    </row>
    <row r="33" spans="1:4" x14ac:dyDescent="0.2">
      <c r="A33" s="4" t="s">
        <v>26</v>
      </c>
      <c r="B33" s="8">
        <v>92</v>
      </c>
      <c r="C33" s="8">
        <v>77</v>
      </c>
      <c r="D33" s="8">
        <v>169</v>
      </c>
    </row>
    <row r="34" spans="1:4" x14ac:dyDescent="0.2">
      <c r="A34" s="4" t="s">
        <v>22</v>
      </c>
      <c r="B34" s="8">
        <v>67</v>
      </c>
      <c r="C34" s="8">
        <v>95</v>
      </c>
      <c r="D34" s="8">
        <v>162</v>
      </c>
    </row>
    <row r="35" spans="1:4" x14ac:dyDescent="0.2">
      <c r="A35" s="4" t="s">
        <v>23</v>
      </c>
      <c r="B35" s="8">
        <v>116</v>
      </c>
      <c r="C35" s="8">
        <v>76</v>
      </c>
      <c r="D35" s="8">
        <v>192</v>
      </c>
    </row>
    <row r="36" spans="1:4" x14ac:dyDescent="0.2">
      <c r="A36" s="4" t="s">
        <v>46</v>
      </c>
      <c r="B36" s="8">
        <v>78</v>
      </c>
      <c r="C36" s="8">
        <v>33</v>
      </c>
      <c r="D36" s="8">
        <v>111</v>
      </c>
    </row>
    <row r="37" spans="1:4" x14ac:dyDescent="0.2">
      <c r="A37" s="4" t="s">
        <v>42</v>
      </c>
      <c r="B37" s="8">
        <v>519</v>
      </c>
      <c r="C37" s="8">
        <v>481</v>
      </c>
      <c r="D37" s="8">
        <v>1000</v>
      </c>
    </row>
    <row r="50" spans="1:4" x14ac:dyDescent="0.2">
      <c r="A50" s="3" t="s">
        <v>45</v>
      </c>
      <c r="B50" s="3" t="s">
        <v>44</v>
      </c>
    </row>
    <row r="51" spans="1:4" x14ac:dyDescent="0.2">
      <c r="A51" s="3" t="s">
        <v>41</v>
      </c>
      <c r="B51" t="s">
        <v>18</v>
      </c>
      <c r="C51" t="s">
        <v>15</v>
      </c>
      <c r="D51" t="s">
        <v>42</v>
      </c>
    </row>
    <row r="52" spans="1:4" x14ac:dyDescent="0.2">
      <c r="A52" s="4" t="s">
        <v>47</v>
      </c>
      <c r="B52" s="8">
        <v>71</v>
      </c>
      <c r="C52" s="8">
        <v>39</v>
      </c>
      <c r="D52" s="8">
        <v>110</v>
      </c>
    </row>
    <row r="53" spans="1:4" x14ac:dyDescent="0.2">
      <c r="A53" s="4" t="s">
        <v>48</v>
      </c>
      <c r="B53" s="8">
        <v>318</v>
      </c>
      <c r="C53" s="8">
        <v>383</v>
      </c>
      <c r="D53" s="8">
        <v>701</v>
      </c>
    </row>
    <row r="54" spans="1:4" x14ac:dyDescent="0.2">
      <c r="A54" s="4" t="s">
        <v>49</v>
      </c>
      <c r="B54" s="8">
        <v>130</v>
      </c>
      <c r="C54" s="8">
        <v>59</v>
      </c>
      <c r="D54" s="8">
        <v>189</v>
      </c>
    </row>
    <row r="55" spans="1:4" x14ac:dyDescent="0.2">
      <c r="A55" s="4" t="s">
        <v>42</v>
      </c>
      <c r="B55" s="8">
        <v>519</v>
      </c>
      <c r="C55" s="8">
        <v>481</v>
      </c>
      <c r="D55" s="8">
        <v>1000</v>
      </c>
    </row>
    <row r="67" spans="1:4" x14ac:dyDescent="0.2">
      <c r="A67" s="3" t="s">
        <v>45</v>
      </c>
      <c r="B67" s="3" t="s">
        <v>44</v>
      </c>
    </row>
    <row r="68" spans="1:4" x14ac:dyDescent="0.2">
      <c r="A68" s="3" t="s">
        <v>41</v>
      </c>
      <c r="B68" t="s">
        <v>18</v>
      </c>
      <c r="C68" t="s">
        <v>15</v>
      </c>
      <c r="D68" t="s">
        <v>42</v>
      </c>
    </row>
    <row r="69" spans="1:4" x14ac:dyDescent="0.2">
      <c r="A69" s="4">
        <v>25</v>
      </c>
      <c r="B69" s="8">
        <v>2</v>
      </c>
      <c r="C69" s="8">
        <v>4</v>
      </c>
      <c r="D69" s="8">
        <v>6</v>
      </c>
    </row>
    <row r="70" spans="1:4" x14ac:dyDescent="0.2">
      <c r="A70" s="4">
        <v>26</v>
      </c>
      <c r="B70" s="8">
        <v>8</v>
      </c>
      <c r="C70" s="8">
        <v>8</v>
      </c>
      <c r="D70" s="8">
        <v>16</v>
      </c>
    </row>
    <row r="71" spans="1:4" x14ac:dyDescent="0.2">
      <c r="A71" s="4">
        <v>27</v>
      </c>
      <c r="B71" s="8">
        <v>15</v>
      </c>
      <c r="C71" s="8">
        <v>8</v>
      </c>
      <c r="D71" s="8">
        <v>23</v>
      </c>
    </row>
    <row r="72" spans="1:4" x14ac:dyDescent="0.2">
      <c r="A72" s="4">
        <v>28</v>
      </c>
      <c r="B72" s="8">
        <v>12</v>
      </c>
      <c r="C72" s="8">
        <v>10</v>
      </c>
      <c r="D72" s="8">
        <v>22</v>
      </c>
    </row>
    <row r="73" spans="1:4" x14ac:dyDescent="0.2">
      <c r="A73" s="4">
        <v>29</v>
      </c>
      <c r="B73" s="8">
        <v>11</v>
      </c>
      <c r="C73" s="8">
        <v>5</v>
      </c>
      <c r="D73" s="8">
        <v>16</v>
      </c>
    </row>
    <row r="74" spans="1:4" x14ac:dyDescent="0.2">
      <c r="A74" s="4">
        <v>30</v>
      </c>
      <c r="B74" s="8">
        <v>23</v>
      </c>
      <c r="C74" s="8">
        <v>4</v>
      </c>
      <c r="D74" s="8">
        <v>27</v>
      </c>
    </row>
    <row r="75" spans="1:4" x14ac:dyDescent="0.2">
      <c r="A75" s="4">
        <v>31</v>
      </c>
      <c r="B75" s="8">
        <v>17</v>
      </c>
      <c r="C75" s="8">
        <v>8</v>
      </c>
      <c r="D75" s="8">
        <v>25</v>
      </c>
    </row>
    <row r="76" spans="1:4" x14ac:dyDescent="0.2">
      <c r="A76" s="4">
        <v>32</v>
      </c>
      <c r="B76" s="8">
        <v>19</v>
      </c>
      <c r="C76" s="8">
        <v>14</v>
      </c>
      <c r="D76" s="8">
        <v>33</v>
      </c>
    </row>
    <row r="77" spans="1:4" x14ac:dyDescent="0.2">
      <c r="A77" s="4">
        <v>33</v>
      </c>
      <c r="B77" s="8">
        <v>8</v>
      </c>
      <c r="C77" s="8">
        <v>13</v>
      </c>
      <c r="D77" s="8">
        <v>21</v>
      </c>
    </row>
    <row r="78" spans="1:4" x14ac:dyDescent="0.2">
      <c r="A78" s="4">
        <v>34</v>
      </c>
      <c r="B78" s="8">
        <v>12</v>
      </c>
      <c r="C78" s="8">
        <v>19</v>
      </c>
      <c r="D78" s="8">
        <v>31</v>
      </c>
    </row>
    <row r="79" spans="1:4" x14ac:dyDescent="0.2">
      <c r="A79" s="4">
        <v>35</v>
      </c>
      <c r="B79" s="8">
        <v>14</v>
      </c>
      <c r="C79" s="8">
        <v>22</v>
      </c>
      <c r="D79" s="8">
        <v>36</v>
      </c>
    </row>
    <row r="80" spans="1:4" x14ac:dyDescent="0.2">
      <c r="A80" s="4">
        <v>36</v>
      </c>
      <c r="B80" s="8">
        <v>7</v>
      </c>
      <c r="C80" s="8">
        <v>30</v>
      </c>
      <c r="D80" s="8">
        <v>37</v>
      </c>
    </row>
    <row r="81" spans="1:4" x14ac:dyDescent="0.2">
      <c r="A81" s="4">
        <v>37</v>
      </c>
      <c r="B81" s="8">
        <v>4</v>
      </c>
      <c r="C81" s="8">
        <v>28</v>
      </c>
      <c r="D81" s="8">
        <v>32</v>
      </c>
    </row>
    <row r="82" spans="1:4" x14ac:dyDescent="0.2">
      <c r="A82" s="4">
        <v>38</v>
      </c>
      <c r="B82" s="8">
        <v>8</v>
      </c>
      <c r="C82" s="8">
        <v>29</v>
      </c>
      <c r="D82" s="8">
        <v>37</v>
      </c>
    </row>
    <row r="83" spans="1:4" x14ac:dyDescent="0.2">
      <c r="A83" s="4">
        <v>39</v>
      </c>
      <c r="B83" s="8">
        <v>10</v>
      </c>
      <c r="C83" s="8">
        <v>12</v>
      </c>
      <c r="D83" s="8">
        <v>22</v>
      </c>
    </row>
    <row r="84" spans="1:4" x14ac:dyDescent="0.2">
      <c r="A84" s="4">
        <v>40</v>
      </c>
      <c r="B84" s="8">
        <v>24</v>
      </c>
      <c r="C84" s="8">
        <v>18</v>
      </c>
      <c r="D84" s="8">
        <v>42</v>
      </c>
    </row>
    <row r="85" spans="1:4" x14ac:dyDescent="0.2">
      <c r="A85" s="4">
        <v>41</v>
      </c>
      <c r="B85" s="8">
        <v>13</v>
      </c>
      <c r="C85" s="8">
        <v>15</v>
      </c>
      <c r="D85" s="8">
        <v>28</v>
      </c>
    </row>
    <row r="86" spans="1:4" x14ac:dyDescent="0.2">
      <c r="A86" s="4">
        <v>42</v>
      </c>
      <c r="B86" s="8">
        <v>22</v>
      </c>
      <c r="C86" s="8">
        <v>12</v>
      </c>
      <c r="D86" s="8">
        <v>34</v>
      </c>
    </row>
    <row r="87" spans="1:4" x14ac:dyDescent="0.2">
      <c r="A87" s="4">
        <v>43</v>
      </c>
      <c r="B87" s="8">
        <v>17</v>
      </c>
      <c r="C87" s="8">
        <v>19</v>
      </c>
      <c r="D87" s="8">
        <v>36</v>
      </c>
    </row>
    <row r="88" spans="1:4" x14ac:dyDescent="0.2">
      <c r="A88" s="4">
        <v>44</v>
      </c>
      <c r="B88" s="8">
        <v>15</v>
      </c>
      <c r="C88" s="8">
        <v>12</v>
      </c>
      <c r="D88" s="8">
        <v>27</v>
      </c>
    </row>
    <row r="89" spans="1:4" x14ac:dyDescent="0.2">
      <c r="A89" s="4">
        <v>45</v>
      </c>
      <c r="B89" s="8">
        <v>18</v>
      </c>
      <c r="C89" s="8">
        <v>13</v>
      </c>
      <c r="D89" s="8">
        <v>31</v>
      </c>
    </row>
    <row r="90" spans="1:4" x14ac:dyDescent="0.2">
      <c r="A90" s="4">
        <v>46</v>
      </c>
      <c r="B90" s="8">
        <v>12</v>
      </c>
      <c r="C90" s="8">
        <v>15</v>
      </c>
      <c r="D90" s="8">
        <v>27</v>
      </c>
    </row>
    <row r="91" spans="1:4" x14ac:dyDescent="0.2">
      <c r="A91" s="4">
        <v>47</v>
      </c>
      <c r="B91" s="8">
        <v>19</v>
      </c>
      <c r="C91" s="8">
        <v>20</v>
      </c>
      <c r="D91" s="8">
        <v>39</v>
      </c>
    </row>
    <row r="92" spans="1:4" x14ac:dyDescent="0.2">
      <c r="A92" s="4">
        <v>48</v>
      </c>
      <c r="B92" s="8">
        <v>16</v>
      </c>
      <c r="C92" s="8">
        <v>13</v>
      </c>
      <c r="D92" s="8">
        <v>29</v>
      </c>
    </row>
    <row r="93" spans="1:4" x14ac:dyDescent="0.2">
      <c r="A93" s="4">
        <v>49</v>
      </c>
      <c r="B93" s="8">
        <v>15</v>
      </c>
      <c r="C93" s="8">
        <v>8</v>
      </c>
      <c r="D93" s="8">
        <v>23</v>
      </c>
    </row>
    <row r="94" spans="1:4" x14ac:dyDescent="0.2">
      <c r="A94" s="4">
        <v>50</v>
      </c>
      <c r="B94" s="8">
        <v>12</v>
      </c>
      <c r="C94" s="8">
        <v>12</v>
      </c>
      <c r="D94" s="8">
        <v>24</v>
      </c>
    </row>
    <row r="95" spans="1:4" x14ac:dyDescent="0.2">
      <c r="A95" s="4">
        <v>51</v>
      </c>
      <c r="B95" s="8">
        <v>10</v>
      </c>
      <c r="C95" s="8">
        <v>12</v>
      </c>
      <c r="D95" s="8">
        <v>22</v>
      </c>
    </row>
    <row r="96" spans="1:4" x14ac:dyDescent="0.2">
      <c r="A96" s="4">
        <v>52</v>
      </c>
      <c r="B96" s="8">
        <v>10</v>
      </c>
      <c r="C96" s="8">
        <v>15</v>
      </c>
      <c r="D96" s="8">
        <v>25</v>
      </c>
    </row>
    <row r="97" spans="1:4" x14ac:dyDescent="0.2">
      <c r="A97" s="4">
        <v>53</v>
      </c>
      <c r="B97" s="8">
        <v>11</v>
      </c>
      <c r="C97" s="8">
        <v>13</v>
      </c>
      <c r="D97" s="8">
        <v>24</v>
      </c>
    </row>
    <row r="98" spans="1:4" x14ac:dyDescent="0.2">
      <c r="A98" s="4">
        <v>54</v>
      </c>
      <c r="B98" s="8">
        <v>5</v>
      </c>
      <c r="C98" s="8">
        <v>11</v>
      </c>
      <c r="D98" s="8">
        <v>16</v>
      </c>
    </row>
    <row r="99" spans="1:4" x14ac:dyDescent="0.2">
      <c r="A99" s="4">
        <v>55</v>
      </c>
      <c r="B99" s="8">
        <v>13</v>
      </c>
      <c r="C99" s="8">
        <v>5</v>
      </c>
      <c r="D99" s="8">
        <v>18</v>
      </c>
    </row>
    <row r="100" spans="1:4" x14ac:dyDescent="0.2">
      <c r="A100" s="4">
        <v>56</v>
      </c>
      <c r="B100" s="8">
        <v>13</v>
      </c>
      <c r="C100" s="8">
        <v>3</v>
      </c>
      <c r="D100" s="8">
        <v>16</v>
      </c>
    </row>
    <row r="101" spans="1:4" x14ac:dyDescent="0.2">
      <c r="A101" s="4">
        <v>57</v>
      </c>
      <c r="B101" s="8">
        <v>4</v>
      </c>
      <c r="C101" s="8">
        <v>4</v>
      </c>
      <c r="D101" s="8">
        <v>8</v>
      </c>
    </row>
    <row r="102" spans="1:4" x14ac:dyDescent="0.2">
      <c r="A102" s="4">
        <v>58</v>
      </c>
      <c r="B102" s="8">
        <v>8</v>
      </c>
      <c r="C102" s="8">
        <v>4</v>
      </c>
      <c r="D102" s="8">
        <v>12</v>
      </c>
    </row>
    <row r="103" spans="1:4" x14ac:dyDescent="0.2">
      <c r="A103" s="4">
        <v>59</v>
      </c>
      <c r="B103" s="8">
        <v>14</v>
      </c>
      <c r="C103" s="8">
        <v>6</v>
      </c>
      <c r="D103" s="8">
        <v>20</v>
      </c>
    </row>
    <row r="104" spans="1:4" x14ac:dyDescent="0.2">
      <c r="A104" s="4">
        <v>60</v>
      </c>
      <c r="B104" s="8">
        <v>8</v>
      </c>
      <c r="C104" s="8">
        <v>7</v>
      </c>
      <c r="D104" s="8">
        <v>15</v>
      </c>
    </row>
    <row r="105" spans="1:4" x14ac:dyDescent="0.2">
      <c r="A105" s="4">
        <v>61</v>
      </c>
      <c r="B105" s="8">
        <v>5</v>
      </c>
      <c r="C105" s="8">
        <v>4</v>
      </c>
      <c r="D105" s="8">
        <v>9</v>
      </c>
    </row>
    <row r="106" spans="1:4" x14ac:dyDescent="0.2">
      <c r="A106" s="4">
        <v>62</v>
      </c>
      <c r="B106" s="8">
        <v>9</v>
      </c>
      <c r="C106" s="8">
        <v>4</v>
      </c>
      <c r="D106" s="8">
        <v>13</v>
      </c>
    </row>
    <row r="107" spans="1:4" x14ac:dyDescent="0.2">
      <c r="A107" s="4">
        <v>63</v>
      </c>
      <c r="B107" s="8">
        <v>7</v>
      </c>
      <c r="C107" s="8">
        <v>2</v>
      </c>
      <c r="D107" s="8">
        <v>9</v>
      </c>
    </row>
    <row r="108" spans="1:4" x14ac:dyDescent="0.2">
      <c r="A108" s="4">
        <v>64</v>
      </c>
      <c r="B108" s="8">
        <v>7</v>
      </c>
      <c r="C108" s="8">
        <v>3</v>
      </c>
      <c r="D108" s="8">
        <v>10</v>
      </c>
    </row>
    <row r="109" spans="1:4" x14ac:dyDescent="0.2">
      <c r="A109" s="4">
        <v>65</v>
      </c>
      <c r="B109" s="8">
        <v>6</v>
      </c>
      <c r="C109" s="8">
        <v>3</v>
      </c>
      <c r="D109" s="8">
        <v>9</v>
      </c>
    </row>
    <row r="110" spans="1:4" x14ac:dyDescent="0.2">
      <c r="A110" s="4">
        <v>66</v>
      </c>
      <c r="B110" s="8">
        <v>8</v>
      </c>
      <c r="C110" s="8">
        <v>6</v>
      </c>
      <c r="D110" s="8">
        <v>14</v>
      </c>
    </row>
    <row r="111" spans="1:4" x14ac:dyDescent="0.2">
      <c r="A111" s="4">
        <v>67</v>
      </c>
      <c r="B111" s="8">
        <v>8</v>
      </c>
      <c r="C111" s="8">
        <v>2</v>
      </c>
      <c r="D111" s="8">
        <v>10</v>
      </c>
    </row>
    <row r="112" spans="1:4" x14ac:dyDescent="0.2">
      <c r="A112" s="4">
        <v>68</v>
      </c>
      <c r="B112" s="8">
        <v>3</v>
      </c>
      <c r="C112" s="8"/>
      <c r="D112" s="8">
        <v>3</v>
      </c>
    </row>
    <row r="113" spans="1:4" x14ac:dyDescent="0.2">
      <c r="A113" s="4">
        <v>69</v>
      </c>
      <c r="B113" s="8">
        <v>8</v>
      </c>
      <c r="C113" s="8"/>
      <c r="D113" s="8">
        <v>8</v>
      </c>
    </row>
    <row r="114" spans="1:4" x14ac:dyDescent="0.2">
      <c r="A114" s="4">
        <v>70</v>
      </c>
      <c r="B114" s="8">
        <v>3</v>
      </c>
      <c r="C114" s="8">
        <v>1</v>
      </c>
      <c r="D114" s="8">
        <v>4</v>
      </c>
    </row>
    <row r="115" spans="1:4" x14ac:dyDescent="0.2">
      <c r="A115" s="4">
        <v>71</v>
      </c>
      <c r="B115" s="8">
        <v>1</v>
      </c>
      <c r="C115" s="8"/>
      <c r="D115" s="8">
        <v>1</v>
      </c>
    </row>
    <row r="116" spans="1:4" x14ac:dyDescent="0.2">
      <c r="A116" s="4">
        <v>72</v>
      </c>
      <c r="B116" s="8"/>
      <c r="C116" s="8">
        <v>1</v>
      </c>
      <c r="D116" s="8">
        <v>1</v>
      </c>
    </row>
    <row r="117" spans="1:4" x14ac:dyDescent="0.2">
      <c r="A117" s="4">
        <v>73</v>
      </c>
      <c r="B117" s="8">
        <v>2</v>
      </c>
      <c r="C117" s="8">
        <v>2</v>
      </c>
      <c r="D117" s="8">
        <v>4</v>
      </c>
    </row>
    <row r="118" spans="1:4" x14ac:dyDescent="0.2">
      <c r="A118" s="4">
        <v>74</v>
      </c>
      <c r="B118" s="8"/>
      <c r="C118" s="8">
        <v>1</v>
      </c>
      <c r="D118" s="8">
        <v>1</v>
      </c>
    </row>
    <row r="119" spans="1:4" x14ac:dyDescent="0.2">
      <c r="A119" s="4">
        <v>78</v>
      </c>
      <c r="B119" s="8">
        <v>1</v>
      </c>
      <c r="C119" s="8">
        <v>1</v>
      </c>
      <c r="D119" s="8">
        <v>2</v>
      </c>
    </row>
    <row r="120" spans="1:4" x14ac:dyDescent="0.2">
      <c r="A120" s="4">
        <v>80</v>
      </c>
      <c r="B120" s="8">
        <v>1</v>
      </c>
      <c r="C120" s="8"/>
      <c r="D120" s="8">
        <v>1</v>
      </c>
    </row>
    <row r="121" spans="1:4" x14ac:dyDescent="0.2">
      <c r="A121" s="4">
        <v>89</v>
      </c>
      <c r="B121" s="8">
        <v>1</v>
      </c>
      <c r="C121" s="8"/>
      <c r="D121" s="8">
        <v>1</v>
      </c>
    </row>
    <row r="122" spans="1:4" x14ac:dyDescent="0.2">
      <c r="A122" s="4" t="s">
        <v>42</v>
      </c>
      <c r="B122" s="8">
        <v>519</v>
      </c>
      <c r="C122" s="8">
        <v>481</v>
      </c>
      <c r="D122" s="8">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59949-4C94-2E4D-B163-11A74729BFBC}">
  <dimension ref="A1:O9"/>
  <sheetViews>
    <sheetView showGridLines="0" tabSelected="1" zoomScale="101" zoomScaleNormal="100" workbookViewId="0">
      <selection activeCell="C31" sqref="C31"/>
    </sheetView>
  </sheetViews>
  <sheetFormatPr baseColWidth="10" defaultRowHeight="15" x14ac:dyDescent="0.2"/>
  <cols>
    <col min="15" max="15" width="10.83203125" customWidth="1"/>
  </cols>
  <sheetData>
    <row r="1" spans="1:15" x14ac:dyDescent="0.2">
      <c r="A1" s="6" t="s">
        <v>50</v>
      </c>
      <c r="B1" s="7"/>
      <c r="C1" s="7"/>
      <c r="D1" s="7"/>
      <c r="E1" s="7"/>
      <c r="F1" s="7"/>
      <c r="G1" s="7"/>
      <c r="H1" s="7"/>
      <c r="I1" s="7"/>
      <c r="J1" s="7"/>
      <c r="K1" s="7"/>
      <c r="L1" s="7"/>
      <c r="M1" s="7"/>
      <c r="N1" s="7"/>
      <c r="O1" s="7"/>
    </row>
    <row r="2" spans="1:15" x14ac:dyDescent="0.2">
      <c r="A2" s="7"/>
      <c r="B2" s="7"/>
      <c r="C2" s="7"/>
      <c r="D2" s="7"/>
      <c r="E2" s="7"/>
      <c r="F2" s="7"/>
      <c r="G2" s="7"/>
      <c r="H2" s="7"/>
      <c r="I2" s="7"/>
      <c r="J2" s="7"/>
      <c r="K2" s="7"/>
      <c r="L2" s="7"/>
      <c r="M2" s="7"/>
      <c r="N2" s="7"/>
      <c r="O2" s="7"/>
    </row>
    <row r="3" spans="1:15" x14ac:dyDescent="0.2">
      <c r="A3" s="7"/>
      <c r="B3" s="7"/>
      <c r="C3" s="7"/>
      <c r="D3" s="7"/>
      <c r="E3" s="7"/>
      <c r="F3" s="7"/>
      <c r="G3" s="7"/>
      <c r="H3" s="7"/>
      <c r="I3" s="7"/>
      <c r="J3" s="7"/>
      <c r="K3" s="7"/>
      <c r="L3" s="7"/>
      <c r="M3" s="7"/>
      <c r="N3" s="7"/>
      <c r="O3" s="7"/>
    </row>
    <row r="4" spans="1:15" x14ac:dyDescent="0.2">
      <c r="A4" s="7"/>
      <c r="B4" s="7"/>
      <c r="C4" s="7"/>
      <c r="D4" s="7"/>
      <c r="E4" s="7"/>
      <c r="F4" s="7"/>
      <c r="G4" s="7"/>
      <c r="H4" s="7"/>
      <c r="I4" s="7"/>
      <c r="J4" s="7"/>
      <c r="K4" s="7"/>
      <c r="L4" s="7"/>
      <c r="M4" s="7"/>
      <c r="N4" s="7"/>
      <c r="O4" s="7"/>
    </row>
    <row r="5" spans="1:15" x14ac:dyDescent="0.2">
      <c r="A5" s="7"/>
      <c r="B5" s="7"/>
      <c r="C5" s="7"/>
      <c r="D5" s="7"/>
      <c r="E5" s="7"/>
      <c r="F5" s="7"/>
      <c r="G5" s="7"/>
      <c r="H5" s="7"/>
      <c r="I5" s="7"/>
      <c r="J5" s="7"/>
      <c r="K5" s="7"/>
      <c r="L5" s="7"/>
      <c r="M5" s="7"/>
      <c r="N5" s="7"/>
      <c r="O5" s="7"/>
    </row>
    <row r="6" spans="1:15" x14ac:dyDescent="0.2">
      <c r="A6" s="7"/>
      <c r="B6" s="7"/>
      <c r="C6" s="7"/>
      <c r="D6" s="7"/>
      <c r="E6" s="7"/>
      <c r="F6" s="7"/>
      <c r="G6" s="7"/>
      <c r="H6" s="7"/>
      <c r="I6" s="7"/>
      <c r="J6" s="7"/>
      <c r="K6" s="7"/>
      <c r="L6" s="7"/>
      <c r="M6" s="7"/>
      <c r="N6" s="7"/>
      <c r="O6" s="7"/>
    </row>
    <row r="9" spans="1:15" x14ac:dyDescent="0.2">
      <c r="D9" s="5"/>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Shayan Bhatti</cp:lastModifiedBy>
  <dcterms:created xsi:type="dcterms:W3CDTF">2022-03-18T02:50:57Z</dcterms:created>
  <dcterms:modified xsi:type="dcterms:W3CDTF">2026-07-14T03:20:42Z</dcterms:modified>
</cp:coreProperties>
</file>